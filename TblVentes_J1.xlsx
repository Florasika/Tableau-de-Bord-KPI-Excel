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ath\Downloads\"/>
    </mc:Choice>
  </mc:AlternateContent>
  <xr:revisionPtr revIDLastSave="0" documentId="13_ncr:1_{1495366A-5458-4EBE-9584-D8937F25594D}" xr6:coauthVersionLast="47" xr6:coauthVersionMax="47" xr10:uidLastSave="{00000000-0000-0000-0000-000000000000}"/>
  <bookViews>
    <workbookView xWindow="-108" yWindow="-108" windowWidth="23256" windowHeight="12456" activeTab="1" xr2:uid="{BBDB74ED-060F-4280-B3E3-806BE55C4C7B}"/>
  </bookViews>
  <sheets>
    <sheet name="TblVentes" sheetId="1" r:id="rId1"/>
    <sheet name="Dashboar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2" l="1"/>
  <c r="B20" i="2"/>
  <c r="B21" i="2"/>
  <c r="B22" i="2"/>
  <c r="B23" i="2"/>
  <c r="B19" i="2"/>
  <c r="C20" i="2"/>
  <c r="C21" i="2"/>
  <c r="C22" i="2"/>
  <c r="C23" i="2"/>
  <c r="C19" i="2"/>
  <c r="C12" i="2"/>
  <c r="C13" i="2"/>
  <c r="C14" i="2"/>
  <c r="C15" i="2"/>
  <c r="C11" i="2"/>
  <c r="B12" i="2"/>
  <c r="B13" i="2"/>
  <c r="B14" i="2"/>
  <c r="B15" i="2"/>
  <c r="B11" i="2"/>
  <c r="B6" i="2"/>
  <c r="B5" i="2"/>
  <c r="B3" i="2"/>
  <c r="B2" i="2"/>
</calcChain>
</file>

<file path=xl/sharedStrings.xml><?xml version="1.0" encoding="utf-8"?>
<sst xmlns="http://schemas.openxmlformats.org/spreadsheetml/2006/main" count="229" uniqueCount="36">
  <si>
    <t>Date</t>
  </si>
  <si>
    <t>Produit</t>
  </si>
  <si>
    <t>Région</t>
  </si>
  <si>
    <t>Catégorie</t>
  </si>
  <si>
    <t>Vendeur</t>
  </si>
  <si>
    <t>Quantité</t>
  </si>
  <si>
    <t>Prix Unitaire</t>
  </si>
  <si>
    <t>Montant</t>
  </si>
  <si>
    <t>Laptop Pro</t>
  </si>
  <si>
    <t>Île-de-France</t>
  </si>
  <si>
    <t>Informatique</t>
  </si>
  <si>
    <t>Alice M.</t>
  </si>
  <si>
    <t>Smartphone X</t>
  </si>
  <si>
    <t>PACA</t>
  </si>
  <si>
    <t>Mobile</t>
  </si>
  <si>
    <t>Karim B.</t>
  </si>
  <si>
    <t>Tablette Air</t>
  </si>
  <si>
    <t>Auvergne-Rhône-Alpes</t>
  </si>
  <si>
    <t>Lucie D.</t>
  </si>
  <si>
    <t>Écouteurs BT</t>
  </si>
  <si>
    <t>Audio</t>
  </si>
  <si>
    <t>Thomas R.</t>
  </si>
  <si>
    <t>Grand Est</t>
  </si>
  <si>
    <t>Nadia K.</t>
  </si>
  <si>
    <t>Montre Smart</t>
  </si>
  <si>
    <t>Wearable</t>
  </si>
  <si>
    <t>KPI</t>
  </si>
  <si>
    <t>FORMULES</t>
  </si>
  <si>
    <t>CA Total</t>
  </si>
  <si>
    <t>Nb Ventes</t>
  </si>
  <si>
    <t>Panier Moyen</t>
  </si>
  <si>
    <t>Qté Totale</t>
  </si>
  <si>
    <t>Nb Produits</t>
  </si>
  <si>
    <t>Tableau SOMME.SI par Produit</t>
  </si>
  <si>
    <t>CA</t>
  </si>
  <si>
    <t>Tableau SOMME.SI par Vendeur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</si>
</sst>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.##0\ &quot;€&quot;"/>
    <numFmt numFmtId="165" formatCode="#.##0"/>
  </numFmts>
  <fonts count="8" x14ac:knownFonts="1">
    <font>
      <sz val="11"/>
      <color theme="1"/>
      <name val="Calibri"/>
      <family val="2"/>
      <scheme val="minor"/>
    </font>
    <font>
      <sz val="22"/>
      <color theme="0"/>
      <name val="Times New Roman"/>
      <family val="1"/>
    </font>
    <font>
      <b/>
      <sz val="18"/>
      <color theme="0"/>
      <name val="Times New Roman"/>
      <family val="1"/>
    </font>
    <font>
      <sz val="18"/>
      <color theme="1"/>
      <name val="Times New Roman"/>
      <family val="1"/>
    </font>
    <font>
      <sz val="18"/>
      <color theme="0"/>
      <name val="Times New Roman"/>
      <family val="1"/>
    </font>
    <font>
      <sz val="20"/>
      <color theme="0"/>
      <name val="Times New Roman"/>
      <family val="1"/>
    </font>
    <font>
      <sz val="16"/>
      <color theme="1"/>
      <name val="Times New Roman"/>
      <family val="1"/>
    </font>
    <font>
      <sz val="16"/>
      <color theme="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0" fontId="0" fillId="0" borderId="0" xfId="0" applyAlignment="1">
      <alignment vertical="center"/>
    </xf>
    <xf numFmtId="0" fontId="2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4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5" fontId="1" fillId="3" borderId="0" xfId="0" applyNumberFormat="1" applyFont="1" applyFill="1" applyBorder="1" applyAlignment="1">
      <alignment vertical="center"/>
    </xf>
    <xf numFmtId="164" fontId="1" fillId="5" borderId="0" xfId="0" applyNumberFormat="1" applyFont="1" applyFill="1" applyAlignment="1">
      <alignment vertical="center"/>
    </xf>
    <xf numFmtId="165" fontId="1" fillId="6" borderId="0" xfId="0" applyNumberFormat="1" applyFont="1" applyFill="1" applyAlignment="1">
      <alignment vertical="center"/>
    </xf>
    <xf numFmtId="164" fontId="1" fillId="2" borderId="0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7" borderId="0" xfId="0" applyFont="1" applyFill="1"/>
    <xf numFmtId="165" fontId="1" fillId="7" borderId="0" xfId="0" applyNumberFormat="1" applyFont="1" applyFill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5" fillId="8" borderId="0" xfId="0" applyFont="1" applyFill="1" applyAlignment="1">
      <alignment vertical="center"/>
    </xf>
    <xf numFmtId="0" fontId="4" fillId="8" borderId="0" xfId="0" applyFont="1" applyFill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7" fillId="9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/>
    </xf>
    <xf numFmtId="0" fontId="5" fillId="8" borderId="0" xfId="0" applyFont="1" applyFill="1" applyAlignment="1">
      <alignment vertical="center"/>
    </xf>
    <xf numFmtId="0" fontId="4" fillId="8" borderId="0" xfId="0" applyFont="1" applyFill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colors>
    <mruColors>
      <color rgb="FF000000"/>
      <color rgb="FFFF5050"/>
      <color rgb="FF7D67A1"/>
      <color rgb="FF00C9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fr-FR" sz="1800" b="1" i="0" u="none" strike="noStrike" baseline="0"/>
              <a:t>Camembert CA par Vendeur</a:t>
            </a:r>
            <a:endParaRPr lang="en-US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Dashboard!$B$18</c:f>
              <c:strCache>
                <c:ptCount val="1"/>
                <c:pt idx="0">
                  <c:v>CA</c:v>
                </c:pt>
              </c:strCache>
            </c:strRef>
          </c:tx>
          <c:spPr>
            <a:ln>
              <a:noFill/>
            </a:ln>
            <a:effectLst/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Dashboard!$A$19:$A$23</c:f>
              <c:strCache>
                <c:ptCount val="5"/>
                <c:pt idx="0">
                  <c:v>Alice M.</c:v>
                </c:pt>
                <c:pt idx="1">
                  <c:v>Karim B.</c:v>
                </c:pt>
                <c:pt idx="2">
                  <c:v>Lucie D.</c:v>
                </c:pt>
                <c:pt idx="3">
                  <c:v>Thomas R.</c:v>
                </c:pt>
                <c:pt idx="4">
                  <c:v>Nadia K.</c:v>
                </c:pt>
              </c:strCache>
            </c:strRef>
          </c:cat>
          <c:val>
            <c:numRef>
              <c:f>Dashboard!$B$19:$B$23</c:f>
              <c:numCache>
                <c:formatCode>General</c:formatCode>
                <c:ptCount val="5"/>
                <c:pt idx="0">
                  <c:v>43990</c:v>
                </c:pt>
                <c:pt idx="1">
                  <c:v>41530</c:v>
                </c:pt>
                <c:pt idx="2">
                  <c:v>29130</c:v>
                </c:pt>
                <c:pt idx="3">
                  <c:v>18960</c:v>
                </c:pt>
                <c:pt idx="4">
                  <c:v>24790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3E-40DD-9AF0-81D7B1E5E59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fr-FR" sz="1260" b="0" i="0" u="none" strike="noStrike" baseline="0"/>
              <a:t>Bar chart CA par Produit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Dashboard!$B$10</c:f>
              <c:strCache>
                <c:ptCount val="1"/>
                <c:pt idx="0">
                  <c:v>CA</c:v>
                </c:pt>
              </c:strCache>
            </c:strRef>
          </c:tx>
          <c:spPr>
            <a:solidFill>
              <a:srgbClr val="00C96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Dashboard!$A$11:$A$15</c:f>
              <c:strCache>
                <c:ptCount val="5"/>
                <c:pt idx="0">
                  <c:v>Laptop Pro</c:v>
                </c:pt>
                <c:pt idx="1">
                  <c:v>Smartphone X</c:v>
                </c:pt>
                <c:pt idx="2">
                  <c:v>Tablette Air</c:v>
                </c:pt>
                <c:pt idx="3">
                  <c:v>Écouteurs BT</c:v>
                </c:pt>
                <c:pt idx="4">
                  <c:v>Montre Smart</c:v>
                </c:pt>
              </c:strCache>
            </c:strRef>
          </c:cat>
          <c:val>
            <c:numRef>
              <c:f>Dashboard!$B$11:$B$15</c:f>
              <c:numCache>
                <c:formatCode>General</c:formatCode>
                <c:ptCount val="5"/>
                <c:pt idx="0">
                  <c:v>18240</c:v>
                </c:pt>
                <c:pt idx="1">
                  <c:v>62400</c:v>
                </c:pt>
                <c:pt idx="2">
                  <c:v>46150</c:v>
                </c:pt>
                <c:pt idx="3">
                  <c:v>13160</c:v>
                </c:pt>
                <c:pt idx="4">
                  <c:v>62400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F-44D5-8C2F-CE86266B9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8750592"/>
        <c:axId val="517294576"/>
      </c:barChart>
      <c:catAx>
        <c:axId val="518750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517294576"/>
        <c:crosses val="autoZero"/>
        <c:auto val="1"/>
        <c:lblAlgn val="ctr"/>
        <c:lblOffset val="100"/>
        <c:noMultiLvlLbl val="0"/>
      </c:catAx>
      <c:valAx>
        <c:axId val="51729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51875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chemeClr val="bg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274320</xdr:colOff>
      <xdr:row>27</xdr:row>
      <xdr:rowOff>81280</xdr:rowOff>
    </xdr:from>
    <xdr:to>
      <xdr:col>12</xdr:col>
      <xdr:colOff>0</xdr:colOff>
      <xdr:row>47</xdr:row>
      <xdr:rowOff>162560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21E4FFE-3101-4280-9AD8-6963620FB9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17780</xdr:colOff>
      <xdr:row>27</xdr:row>
      <xdr:rowOff>71120</xdr:rowOff>
    </xdr:from>
    <xdr:to>
      <xdr:col>4</xdr:col>
      <xdr:colOff>782320</xdr:colOff>
      <xdr:row>48</xdr:row>
      <xdr:rowOff>81280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6877FDB-2F88-43D1-BD73-364A4265B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EDD0AA-4410-4D12-9CF4-F592BC5C7EBB}" name="Tableau1" displayName="Tableau1" ref="A1:H50" totalsRowShown="0">
  <autoFilter ref="A1:H50" xr:uid="{29EDD0AA-4410-4D12-9CF4-F592BC5C7EBB}"/>
  <tableColumns count="8">
    <tableColumn id="1" xr3:uid="{D738046F-9BB9-4310-A6ED-1BBC07361D78}" name="Date" dataDxfId="0"/>
    <tableColumn id="2" xr3:uid="{82C855AD-AAF0-4683-84A9-970E6A326E50}" name="Produit"/>
    <tableColumn id="3" xr3:uid="{E5509AE3-4936-4E5E-9E38-5CF6C1F653C1}" name="Région"/>
    <tableColumn id="4" xr3:uid="{5097F92E-1E37-4949-BE8F-9A44CAA15C73}" name="Catégorie"/>
    <tableColumn id="5" xr3:uid="{840E6993-8E6F-42D9-BEA1-243322C0FC5A}" name="Vendeur"/>
    <tableColumn id="6" xr3:uid="{B8AED34B-A48F-45E1-A6B2-9D3A5A479DF6}" name="Quantité"/>
    <tableColumn id="7" xr3:uid="{D879B52C-76D3-4E83-9F99-E8FFAD0BF3D8}" name="Prix Unitaire"/>
    <tableColumn id="8" xr3:uid="{F9E34372-BABC-4C87-AD4F-1048562FEEEC}" name="Monta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8D7D0-002C-404D-B6BB-E968BBE62793}">
  <dimension ref="A1:H50"/>
  <sheetViews>
    <sheetView zoomScaleNormal="100" workbookViewId="0">
      <pane ySplit="1" topLeftCell="A5" activePane="bottomLeft" state="frozen"/>
      <selection pane="bottomLeft" activeCell="E31" sqref="E31"/>
    </sheetView>
  </sheetViews>
  <sheetFormatPr baseColWidth="10" defaultRowHeight="14.4" x14ac:dyDescent="0.3"/>
  <cols>
    <col min="1" max="1" width="10.5546875" bestFit="1" customWidth="1"/>
    <col min="2" max="2" width="12.33203125" bestFit="1" customWidth="1"/>
    <col min="3" max="3" width="19.5546875" bestFit="1" customWidth="1"/>
    <col min="4" max="4" width="11.6640625" bestFit="1" customWidth="1"/>
    <col min="5" max="5" width="10.109375" customWidth="1"/>
    <col min="6" max="6" width="10.21875" customWidth="1"/>
    <col min="7" max="7" width="13.109375" customWidth="1"/>
    <col min="8" max="8" width="10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45296</v>
      </c>
      <c r="B2" t="s">
        <v>8</v>
      </c>
      <c r="C2" t="s">
        <v>9</v>
      </c>
      <c r="D2" t="s">
        <v>10</v>
      </c>
      <c r="E2" t="s">
        <v>11</v>
      </c>
      <c r="F2">
        <v>3</v>
      </c>
      <c r="G2">
        <v>1200</v>
      </c>
      <c r="H2">
        <v>3600</v>
      </c>
    </row>
    <row r="3" spans="1:8" x14ac:dyDescent="0.3">
      <c r="A3" s="1">
        <v>45298</v>
      </c>
      <c r="B3" t="s">
        <v>12</v>
      </c>
      <c r="C3" t="s">
        <v>13</v>
      </c>
      <c r="D3" t="s">
        <v>14</v>
      </c>
      <c r="E3" t="s">
        <v>15</v>
      </c>
      <c r="F3">
        <v>5</v>
      </c>
      <c r="G3">
        <v>650</v>
      </c>
      <c r="H3">
        <v>3250</v>
      </c>
    </row>
    <row r="4" spans="1:8" x14ac:dyDescent="0.3">
      <c r="A4" s="1">
        <v>45301</v>
      </c>
      <c r="B4" t="s">
        <v>16</v>
      </c>
      <c r="C4" t="s">
        <v>17</v>
      </c>
      <c r="D4" t="s">
        <v>10</v>
      </c>
      <c r="E4" t="s">
        <v>18</v>
      </c>
      <c r="F4">
        <v>2</v>
      </c>
      <c r="G4">
        <v>450</v>
      </c>
      <c r="H4">
        <v>900</v>
      </c>
    </row>
    <row r="5" spans="1:8" x14ac:dyDescent="0.3">
      <c r="A5" s="1">
        <v>45303</v>
      </c>
      <c r="B5" t="s">
        <v>19</v>
      </c>
      <c r="C5" t="s">
        <v>9</v>
      </c>
      <c r="D5" t="s">
        <v>20</v>
      </c>
      <c r="E5" t="s">
        <v>21</v>
      </c>
      <c r="F5">
        <v>10</v>
      </c>
      <c r="G5">
        <v>120</v>
      </c>
      <c r="H5">
        <v>1200</v>
      </c>
    </row>
    <row r="6" spans="1:8" x14ac:dyDescent="0.3">
      <c r="A6" s="1">
        <v>45306</v>
      </c>
      <c r="B6" t="s">
        <v>8</v>
      </c>
      <c r="C6" t="s">
        <v>22</v>
      </c>
      <c r="D6" t="s">
        <v>10</v>
      </c>
      <c r="E6" t="s">
        <v>23</v>
      </c>
      <c r="F6">
        <v>2</v>
      </c>
      <c r="G6">
        <v>1200</v>
      </c>
      <c r="H6">
        <v>2400</v>
      </c>
    </row>
    <row r="7" spans="1:8" x14ac:dyDescent="0.3">
      <c r="A7" s="1">
        <v>45309</v>
      </c>
      <c r="B7" t="s">
        <v>24</v>
      </c>
      <c r="C7" t="s">
        <v>13</v>
      </c>
      <c r="D7" t="s">
        <v>25</v>
      </c>
      <c r="E7" t="s">
        <v>11</v>
      </c>
      <c r="F7">
        <v>4</v>
      </c>
      <c r="G7">
        <v>280</v>
      </c>
      <c r="H7">
        <v>1120</v>
      </c>
    </row>
    <row r="8" spans="1:8" x14ac:dyDescent="0.3">
      <c r="A8" s="1">
        <v>45311</v>
      </c>
      <c r="B8" t="s">
        <v>12</v>
      </c>
      <c r="C8" t="s">
        <v>9</v>
      </c>
      <c r="D8" t="s">
        <v>14</v>
      </c>
      <c r="E8" t="s">
        <v>15</v>
      </c>
      <c r="F8">
        <v>8</v>
      </c>
      <c r="G8">
        <v>650</v>
      </c>
      <c r="H8">
        <v>5200</v>
      </c>
    </row>
    <row r="9" spans="1:8" x14ac:dyDescent="0.3">
      <c r="A9" s="1">
        <v>45313</v>
      </c>
      <c r="B9" t="s">
        <v>16</v>
      </c>
      <c r="C9" t="s">
        <v>9</v>
      </c>
      <c r="D9" t="s">
        <v>10</v>
      </c>
      <c r="E9" t="s">
        <v>18</v>
      </c>
      <c r="F9">
        <v>3</v>
      </c>
      <c r="G9">
        <v>450</v>
      </c>
      <c r="H9">
        <v>1350</v>
      </c>
    </row>
    <row r="10" spans="1:8" x14ac:dyDescent="0.3">
      <c r="A10" s="1">
        <v>45316</v>
      </c>
      <c r="B10" t="s">
        <v>19</v>
      </c>
      <c r="C10" t="s">
        <v>22</v>
      </c>
      <c r="D10" t="s">
        <v>20</v>
      </c>
      <c r="E10" t="s">
        <v>21</v>
      </c>
      <c r="F10">
        <v>15</v>
      </c>
      <c r="G10">
        <v>120</v>
      </c>
      <c r="H10">
        <v>1800</v>
      </c>
    </row>
    <row r="11" spans="1:8" x14ac:dyDescent="0.3">
      <c r="A11" s="1">
        <v>45319</v>
      </c>
      <c r="B11" t="s">
        <v>8</v>
      </c>
      <c r="C11" t="s">
        <v>13</v>
      </c>
      <c r="D11" t="s">
        <v>10</v>
      </c>
      <c r="E11" t="s">
        <v>23</v>
      </c>
      <c r="F11">
        <v>4</v>
      </c>
      <c r="G11">
        <v>1200</v>
      </c>
      <c r="H11">
        <v>4800</v>
      </c>
    </row>
    <row r="12" spans="1:8" x14ac:dyDescent="0.3">
      <c r="A12" s="1">
        <v>45324</v>
      </c>
      <c r="B12" t="s">
        <v>12</v>
      </c>
      <c r="C12" t="s">
        <v>17</v>
      </c>
      <c r="D12" t="s">
        <v>14</v>
      </c>
      <c r="E12" t="s">
        <v>11</v>
      </c>
      <c r="F12">
        <v>6</v>
      </c>
      <c r="G12">
        <v>650</v>
      </c>
      <c r="H12">
        <v>3900</v>
      </c>
    </row>
    <row r="13" spans="1:8" x14ac:dyDescent="0.3">
      <c r="A13" s="1">
        <v>45327</v>
      </c>
      <c r="B13" t="s">
        <v>24</v>
      </c>
      <c r="C13" t="s">
        <v>9</v>
      </c>
      <c r="D13" t="s">
        <v>25</v>
      </c>
      <c r="E13" t="s">
        <v>15</v>
      </c>
      <c r="F13">
        <v>7</v>
      </c>
      <c r="G13">
        <v>280</v>
      </c>
      <c r="H13">
        <v>1960</v>
      </c>
    </row>
    <row r="14" spans="1:8" x14ac:dyDescent="0.3">
      <c r="A14" s="1">
        <v>45330</v>
      </c>
      <c r="B14" t="s">
        <v>8</v>
      </c>
      <c r="C14" t="s">
        <v>9</v>
      </c>
      <c r="D14" t="s">
        <v>10</v>
      </c>
      <c r="E14" t="s">
        <v>18</v>
      </c>
      <c r="F14">
        <v>5</v>
      </c>
      <c r="G14">
        <v>1200</v>
      </c>
      <c r="H14">
        <v>6000</v>
      </c>
    </row>
    <row r="15" spans="1:8" x14ac:dyDescent="0.3">
      <c r="A15" s="1">
        <v>45332</v>
      </c>
      <c r="B15" t="s">
        <v>16</v>
      </c>
      <c r="C15" t="s">
        <v>13</v>
      </c>
      <c r="D15" t="s">
        <v>10</v>
      </c>
      <c r="E15" t="s">
        <v>21</v>
      </c>
      <c r="F15">
        <v>4</v>
      </c>
      <c r="G15">
        <v>450</v>
      </c>
      <c r="H15">
        <v>1800</v>
      </c>
    </row>
    <row r="16" spans="1:8" x14ac:dyDescent="0.3">
      <c r="A16" s="1">
        <v>45335</v>
      </c>
      <c r="B16" t="s">
        <v>19</v>
      </c>
      <c r="C16" t="s">
        <v>17</v>
      </c>
      <c r="D16" t="s">
        <v>20</v>
      </c>
      <c r="E16" t="s">
        <v>23</v>
      </c>
      <c r="F16">
        <v>12</v>
      </c>
      <c r="G16">
        <v>120</v>
      </c>
      <c r="H16">
        <v>1440</v>
      </c>
    </row>
    <row r="17" spans="1:8" x14ac:dyDescent="0.3">
      <c r="A17" s="1">
        <v>45337</v>
      </c>
      <c r="B17" t="s">
        <v>12</v>
      </c>
      <c r="C17" t="s">
        <v>22</v>
      </c>
      <c r="D17" t="s">
        <v>14</v>
      </c>
      <c r="E17" t="s">
        <v>11</v>
      </c>
      <c r="F17">
        <v>9</v>
      </c>
      <c r="G17">
        <v>650</v>
      </c>
      <c r="H17">
        <v>5850</v>
      </c>
    </row>
    <row r="18" spans="1:8" x14ac:dyDescent="0.3">
      <c r="A18" s="1">
        <v>45342</v>
      </c>
      <c r="B18" t="s">
        <v>8</v>
      </c>
      <c r="C18" t="s">
        <v>22</v>
      </c>
      <c r="D18" t="s">
        <v>10</v>
      </c>
      <c r="E18" t="s">
        <v>18</v>
      </c>
      <c r="F18">
        <v>2</v>
      </c>
      <c r="G18">
        <v>1200</v>
      </c>
      <c r="H18">
        <v>2400</v>
      </c>
    </row>
    <row r="19" spans="1:8" x14ac:dyDescent="0.3">
      <c r="A19" s="1">
        <v>45344</v>
      </c>
      <c r="B19" t="s">
        <v>16</v>
      </c>
      <c r="C19" t="s">
        <v>9</v>
      </c>
      <c r="D19" t="s">
        <v>10</v>
      </c>
      <c r="E19" t="s">
        <v>21</v>
      </c>
      <c r="F19">
        <v>6</v>
      </c>
      <c r="G19">
        <v>450</v>
      </c>
      <c r="H19">
        <v>2700</v>
      </c>
    </row>
    <row r="20" spans="1:8" x14ac:dyDescent="0.3">
      <c r="A20" s="1">
        <v>45347</v>
      </c>
      <c r="B20" t="s">
        <v>19</v>
      </c>
      <c r="C20" t="s">
        <v>13</v>
      </c>
      <c r="D20" t="s">
        <v>20</v>
      </c>
      <c r="E20" t="s">
        <v>23</v>
      </c>
      <c r="F20">
        <v>20</v>
      </c>
      <c r="G20">
        <v>120</v>
      </c>
      <c r="H20">
        <v>2400</v>
      </c>
    </row>
    <row r="21" spans="1:8" x14ac:dyDescent="0.3">
      <c r="A21" s="1">
        <v>45352</v>
      </c>
      <c r="B21" t="s">
        <v>8</v>
      </c>
      <c r="C21" t="s">
        <v>17</v>
      </c>
      <c r="D21" t="s">
        <v>10</v>
      </c>
      <c r="E21" t="s">
        <v>11</v>
      </c>
      <c r="F21">
        <v>3</v>
      </c>
      <c r="G21">
        <v>1200</v>
      </c>
      <c r="H21">
        <v>3600</v>
      </c>
    </row>
    <row r="22" spans="1:8" x14ac:dyDescent="0.3">
      <c r="A22" s="1">
        <v>45355</v>
      </c>
      <c r="B22" t="s">
        <v>12</v>
      </c>
      <c r="C22" t="s">
        <v>9</v>
      </c>
      <c r="D22" t="s">
        <v>14</v>
      </c>
      <c r="E22" t="s">
        <v>15</v>
      </c>
      <c r="F22">
        <v>11</v>
      </c>
      <c r="G22">
        <v>650</v>
      </c>
      <c r="H22">
        <v>7150</v>
      </c>
    </row>
    <row r="23" spans="1:8" x14ac:dyDescent="0.3">
      <c r="A23" s="1">
        <v>45358</v>
      </c>
      <c r="B23" t="s">
        <v>24</v>
      </c>
      <c r="C23" t="s">
        <v>22</v>
      </c>
      <c r="D23" t="s">
        <v>25</v>
      </c>
      <c r="E23" t="s">
        <v>18</v>
      </c>
      <c r="F23">
        <v>5</v>
      </c>
      <c r="G23">
        <v>280</v>
      </c>
      <c r="H23">
        <v>1400</v>
      </c>
    </row>
    <row r="24" spans="1:8" x14ac:dyDescent="0.3">
      <c r="A24" s="1">
        <v>45361</v>
      </c>
      <c r="B24" t="s">
        <v>16</v>
      </c>
      <c r="C24" t="s">
        <v>13</v>
      </c>
      <c r="D24" t="s">
        <v>10</v>
      </c>
      <c r="E24" t="s">
        <v>21</v>
      </c>
      <c r="F24">
        <v>2</v>
      </c>
      <c r="G24">
        <v>450</v>
      </c>
      <c r="H24">
        <v>900</v>
      </c>
    </row>
    <row r="25" spans="1:8" x14ac:dyDescent="0.3">
      <c r="A25" s="1">
        <v>45363</v>
      </c>
      <c r="B25" t="s">
        <v>19</v>
      </c>
      <c r="C25" t="s">
        <v>9</v>
      </c>
      <c r="D25" t="s">
        <v>20</v>
      </c>
      <c r="E25" t="s">
        <v>23</v>
      </c>
      <c r="F25">
        <v>18</v>
      </c>
      <c r="G25">
        <v>120</v>
      </c>
      <c r="H25">
        <v>2160</v>
      </c>
    </row>
    <row r="26" spans="1:8" x14ac:dyDescent="0.3">
      <c r="A26" s="1">
        <v>45366</v>
      </c>
      <c r="B26" t="s">
        <v>8</v>
      </c>
      <c r="C26" t="s">
        <v>13</v>
      </c>
      <c r="D26" t="s">
        <v>10</v>
      </c>
      <c r="E26" t="s">
        <v>11</v>
      </c>
      <c r="F26">
        <v>6</v>
      </c>
      <c r="G26">
        <v>1200</v>
      </c>
      <c r="H26">
        <v>7200</v>
      </c>
    </row>
    <row r="27" spans="1:8" x14ac:dyDescent="0.3">
      <c r="A27" s="1">
        <v>45369</v>
      </c>
      <c r="B27" t="s">
        <v>12</v>
      </c>
      <c r="C27" t="s">
        <v>22</v>
      </c>
      <c r="D27" t="s">
        <v>14</v>
      </c>
      <c r="E27" t="s">
        <v>15</v>
      </c>
      <c r="F27">
        <v>4</v>
      </c>
      <c r="G27">
        <v>650</v>
      </c>
      <c r="H27">
        <v>2600</v>
      </c>
    </row>
    <row r="28" spans="1:8" x14ac:dyDescent="0.3">
      <c r="A28" s="1">
        <v>45371</v>
      </c>
      <c r="B28" t="s">
        <v>16</v>
      </c>
      <c r="C28" t="s">
        <v>17</v>
      </c>
      <c r="D28" t="s">
        <v>10</v>
      </c>
      <c r="E28" t="s">
        <v>18</v>
      </c>
      <c r="F28">
        <v>5</v>
      </c>
      <c r="G28">
        <v>450</v>
      </c>
      <c r="H28">
        <v>2250</v>
      </c>
    </row>
    <row r="29" spans="1:8" x14ac:dyDescent="0.3">
      <c r="A29" s="1">
        <v>45373</v>
      </c>
      <c r="B29" t="s">
        <v>24</v>
      </c>
      <c r="C29" t="s">
        <v>9</v>
      </c>
      <c r="D29" t="s">
        <v>25</v>
      </c>
      <c r="E29" t="s">
        <v>21</v>
      </c>
      <c r="F29">
        <v>8</v>
      </c>
      <c r="G29">
        <v>280</v>
      </c>
      <c r="H29">
        <v>2240</v>
      </c>
    </row>
    <row r="30" spans="1:8" x14ac:dyDescent="0.3">
      <c r="A30" s="1">
        <v>45376</v>
      </c>
      <c r="B30" t="s">
        <v>19</v>
      </c>
      <c r="C30" t="s">
        <v>22</v>
      </c>
      <c r="D30" t="s">
        <v>20</v>
      </c>
      <c r="E30" t="s">
        <v>23</v>
      </c>
      <c r="F30">
        <v>25</v>
      </c>
      <c r="G30">
        <v>120</v>
      </c>
      <c r="H30">
        <v>3000</v>
      </c>
    </row>
    <row r="31" spans="1:8" x14ac:dyDescent="0.3">
      <c r="A31" s="1">
        <v>45379</v>
      </c>
      <c r="B31" t="s">
        <v>8</v>
      </c>
      <c r="C31" t="s">
        <v>9</v>
      </c>
      <c r="D31" t="s">
        <v>10</v>
      </c>
      <c r="E31" t="s">
        <v>11</v>
      </c>
      <c r="F31">
        <v>4</v>
      </c>
      <c r="G31">
        <v>1200</v>
      </c>
      <c r="H31">
        <v>4800</v>
      </c>
    </row>
    <row r="32" spans="1:8" x14ac:dyDescent="0.3">
      <c r="A32" s="1">
        <v>45384</v>
      </c>
      <c r="B32" t="s">
        <v>12</v>
      </c>
      <c r="C32" t="s">
        <v>13</v>
      </c>
      <c r="D32" t="s">
        <v>14</v>
      </c>
      <c r="E32" t="s">
        <v>15</v>
      </c>
      <c r="F32">
        <v>7</v>
      </c>
      <c r="G32">
        <v>650</v>
      </c>
      <c r="H32">
        <v>4550</v>
      </c>
    </row>
    <row r="33" spans="1:8" x14ac:dyDescent="0.3">
      <c r="A33" s="1">
        <v>45387</v>
      </c>
      <c r="B33" t="s">
        <v>24</v>
      </c>
      <c r="C33" t="s">
        <v>17</v>
      </c>
      <c r="D33" t="s">
        <v>25</v>
      </c>
      <c r="E33" t="s">
        <v>18</v>
      </c>
      <c r="F33">
        <v>6</v>
      </c>
      <c r="G33">
        <v>280</v>
      </c>
      <c r="H33">
        <v>1680</v>
      </c>
    </row>
    <row r="34" spans="1:8" x14ac:dyDescent="0.3">
      <c r="A34" s="1">
        <v>45390</v>
      </c>
      <c r="B34" t="s">
        <v>8</v>
      </c>
      <c r="C34" t="s">
        <v>22</v>
      </c>
      <c r="D34" t="s">
        <v>10</v>
      </c>
      <c r="E34" t="s">
        <v>21</v>
      </c>
      <c r="F34">
        <v>3</v>
      </c>
      <c r="G34">
        <v>1200</v>
      </c>
      <c r="H34">
        <v>3600</v>
      </c>
    </row>
    <row r="35" spans="1:8" x14ac:dyDescent="0.3">
      <c r="A35" s="1">
        <v>45392</v>
      </c>
      <c r="B35" t="s">
        <v>16</v>
      </c>
      <c r="C35" t="s">
        <v>9</v>
      </c>
      <c r="D35" t="s">
        <v>10</v>
      </c>
      <c r="E35" t="s">
        <v>23</v>
      </c>
      <c r="F35">
        <v>4</v>
      </c>
      <c r="G35">
        <v>450</v>
      </c>
      <c r="H35">
        <v>1800</v>
      </c>
    </row>
    <row r="36" spans="1:8" x14ac:dyDescent="0.3">
      <c r="A36" s="1">
        <v>45395</v>
      </c>
      <c r="B36" t="s">
        <v>19</v>
      </c>
      <c r="C36" t="s">
        <v>13</v>
      </c>
      <c r="D36" t="s">
        <v>20</v>
      </c>
      <c r="E36" t="s">
        <v>11</v>
      </c>
      <c r="F36">
        <v>14</v>
      </c>
      <c r="G36">
        <v>120</v>
      </c>
      <c r="H36">
        <v>1680</v>
      </c>
    </row>
    <row r="37" spans="1:8" x14ac:dyDescent="0.3">
      <c r="A37" s="1">
        <v>45397</v>
      </c>
      <c r="B37" t="s">
        <v>12</v>
      </c>
      <c r="C37" t="s">
        <v>9</v>
      </c>
      <c r="D37" t="s">
        <v>14</v>
      </c>
      <c r="E37" t="s">
        <v>15</v>
      </c>
      <c r="F37">
        <v>10</v>
      </c>
      <c r="G37">
        <v>650</v>
      </c>
      <c r="H37">
        <v>6500</v>
      </c>
    </row>
    <row r="38" spans="1:8" x14ac:dyDescent="0.3">
      <c r="A38" s="1">
        <v>45400</v>
      </c>
      <c r="B38" t="s">
        <v>8</v>
      </c>
      <c r="C38" t="s">
        <v>17</v>
      </c>
      <c r="D38" t="s">
        <v>10</v>
      </c>
      <c r="E38" t="s">
        <v>18</v>
      </c>
      <c r="F38">
        <v>5</v>
      </c>
      <c r="G38">
        <v>1200</v>
      </c>
      <c r="H38">
        <v>6000</v>
      </c>
    </row>
    <row r="39" spans="1:8" x14ac:dyDescent="0.3">
      <c r="A39" s="1">
        <v>45402</v>
      </c>
      <c r="B39" t="s">
        <v>24</v>
      </c>
      <c r="C39" t="s">
        <v>22</v>
      </c>
      <c r="D39" t="s">
        <v>25</v>
      </c>
      <c r="E39" t="s">
        <v>21</v>
      </c>
      <c r="F39">
        <v>4</v>
      </c>
      <c r="G39">
        <v>280</v>
      </c>
      <c r="H39">
        <v>1120</v>
      </c>
    </row>
    <row r="40" spans="1:8" x14ac:dyDescent="0.3">
      <c r="A40" s="1">
        <v>45404</v>
      </c>
      <c r="B40" t="s">
        <v>16</v>
      </c>
      <c r="C40" t="s">
        <v>13</v>
      </c>
      <c r="D40" t="s">
        <v>10</v>
      </c>
      <c r="E40" t="s">
        <v>23</v>
      </c>
      <c r="F40">
        <v>7</v>
      </c>
      <c r="G40">
        <v>450</v>
      </c>
      <c r="H40">
        <v>3150</v>
      </c>
    </row>
    <row r="41" spans="1:8" x14ac:dyDescent="0.3">
      <c r="A41" s="1">
        <v>45413</v>
      </c>
      <c r="B41" t="s">
        <v>19</v>
      </c>
      <c r="C41" t="s">
        <v>9</v>
      </c>
      <c r="D41" t="s">
        <v>20</v>
      </c>
      <c r="E41" t="s">
        <v>11</v>
      </c>
      <c r="F41">
        <v>22</v>
      </c>
      <c r="G41">
        <v>120</v>
      </c>
      <c r="H41">
        <v>2640</v>
      </c>
    </row>
    <row r="42" spans="1:8" x14ac:dyDescent="0.3">
      <c r="A42" s="1">
        <v>45416</v>
      </c>
      <c r="B42" t="s">
        <v>8</v>
      </c>
      <c r="C42" t="s">
        <v>13</v>
      </c>
      <c r="D42" t="s">
        <v>10</v>
      </c>
      <c r="E42" t="s">
        <v>15</v>
      </c>
      <c r="F42">
        <v>7</v>
      </c>
      <c r="G42">
        <v>1200</v>
      </c>
      <c r="H42">
        <v>8400</v>
      </c>
    </row>
    <row r="43" spans="1:8" x14ac:dyDescent="0.3">
      <c r="A43" s="1">
        <v>45419</v>
      </c>
      <c r="B43" t="s">
        <v>12</v>
      </c>
      <c r="C43" t="s">
        <v>17</v>
      </c>
      <c r="D43" t="s">
        <v>14</v>
      </c>
      <c r="E43" t="s">
        <v>18</v>
      </c>
      <c r="F43">
        <v>5</v>
      </c>
      <c r="G43">
        <v>650</v>
      </c>
      <c r="H43">
        <v>3250</v>
      </c>
    </row>
    <row r="44" spans="1:8" x14ac:dyDescent="0.3">
      <c r="A44" s="1">
        <v>45422</v>
      </c>
      <c r="B44" t="s">
        <v>16</v>
      </c>
      <c r="C44" t="s">
        <v>22</v>
      </c>
      <c r="D44" t="s">
        <v>10</v>
      </c>
      <c r="E44" t="s">
        <v>21</v>
      </c>
      <c r="F44">
        <v>3</v>
      </c>
      <c r="G44">
        <v>450</v>
      </c>
      <c r="H44">
        <v>1350</v>
      </c>
    </row>
    <row r="45" spans="1:8" x14ac:dyDescent="0.3">
      <c r="A45" s="1">
        <v>45424</v>
      </c>
      <c r="B45" t="s">
        <v>24</v>
      </c>
      <c r="C45" t="s">
        <v>9</v>
      </c>
      <c r="D45" t="s">
        <v>25</v>
      </c>
      <c r="E45" t="s">
        <v>23</v>
      </c>
      <c r="F45">
        <v>9</v>
      </c>
      <c r="G45">
        <v>280</v>
      </c>
      <c r="H45">
        <v>2520</v>
      </c>
    </row>
    <row r="46" spans="1:8" x14ac:dyDescent="0.3">
      <c r="A46" s="1">
        <v>45427</v>
      </c>
      <c r="B46" t="s">
        <v>8</v>
      </c>
      <c r="C46" t="s">
        <v>9</v>
      </c>
      <c r="D46" t="s">
        <v>10</v>
      </c>
      <c r="E46" t="s">
        <v>11</v>
      </c>
      <c r="F46">
        <v>8</v>
      </c>
      <c r="G46">
        <v>1200</v>
      </c>
      <c r="H46">
        <v>9600</v>
      </c>
    </row>
    <row r="47" spans="1:8" x14ac:dyDescent="0.3">
      <c r="A47" s="1">
        <v>45430</v>
      </c>
      <c r="B47" t="s">
        <v>19</v>
      </c>
      <c r="C47" t="s">
        <v>13</v>
      </c>
      <c r="D47" t="s">
        <v>20</v>
      </c>
      <c r="E47" t="s">
        <v>15</v>
      </c>
      <c r="F47">
        <v>16</v>
      </c>
      <c r="G47">
        <v>120</v>
      </c>
      <c r="H47">
        <v>1920</v>
      </c>
    </row>
    <row r="48" spans="1:8" x14ac:dyDescent="0.3">
      <c r="A48" s="1">
        <v>45432</v>
      </c>
      <c r="B48" t="s">
        <v>12</v>
      </c>
      <c r="C48" t="s">
        <v>22</v>
      </c>
      <c r="D48" t="s">
        <v>14</v>
      </c>
      <c r="E48" t="s">
        <v>18</v>
      </c>
      <c r="F48">
        <v>6</v>
      </c>
      <c r="G48">
        <v>650</v>
      </c>
      <c r="H48">
        <v>3900</v>
      </c>
    </row>
    <row r="49" spans="1:8" x14ac:dyDescent="0.3">
      <c r="A49" s="1">
        <v>45434</v>
      </c>
      <c r="B49" t="s">
        <v>16</v>
      </c>
      <c r="C49" t="s">
        <v>9</v>
      </c>
      <c r="D49" t="s">
        <v>10</v>
      </c>
      <c r="E49" t="s">
        <v>21</v>
      </c>
      <c r="F49">
        <v>5</v>
      </c>
      <c r="G49">
        <v>450</v>
      </c>
      <c r="H49">
        <v>2250</v>
      </c>
    </row>
    <row r="50" spans="1:8" x14ac:dyDescent="0.3">
      <c r="A50" s="1">
        <v>45437</v>
      </c>
      <c r="B50" t="s">
        <v>24</v>
      </c>
      <c r="C50" t="s">
        <v>13</v>
      </c>
      <c r="D50" t="s">
        <v>25</v>
      </c>
      <c r="E50" t="s">
        <v>23</v>
      </c>
      <c r="F50">
        <v>4</v>
      </c>
      <c r="G50">
        <v>280</v>
      </c>
      <c r="H50">
        <v>1120</v>
      </c>
    </row>
  </sheetData>
  <sheetProtection algorithmName="SHA-512" hashValue="CEV4vulEaHCbKQNdGYN6O3QMzfVGrEglfFQInX+DLiyUDTXDefodX2rC3BgTM6NnS2u+zrmQQWHef027ZQkLoA==" saltValue="KqrkZSgTG3GrPddBVDJB/w==" spinCount="100000" sheet="1" objects="1" scenarios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640F-2992-4965-8249-A938B8DFF8F8}">
  <sheetPr>
    <tabColor theme="0"/>
  </sheetPr>
  <dimension ref="A1:C23"/>
  <sheetViews>
    <sheetView showGridLines="0" tabSelected="1" zoomScale="75" zoomScaleNormal="75" workbookViewId="0">
      <selection activeCell="A4" sqref="A4:B4"/>
    </sheetView>
  </sheetViews>
  <sheetFormatPr baseColWidth="10" defaultRowHeight="14.4" x14ac:dyDescent="0.3"/>
  <cols>
    <col min="1" max="1" width="37.21875" style="9" customWidth="1"/>
    <col min="2" max="2" width="20.33203125" style="2" bestFit="1" customWidth="1"/>
    <col min="3" max="3" width="22" customWidth="1"/>
  </cols>
  <sheetData>
    <row r="1" spans="1:3" s="3" customFormat="1" ht="43.8" customHeight="1" x14ac:dyDescent="0.3">
      <c r="A1" s="6" t="s">
        <v>26</v>
      </c>
      <c r="B1" s="10" t="s">
        <v>27</v>
      </c>
    </row>
    <row r="2" spans="1:3" ht="28.2" x14ac:dyDescent="0.3">
      <c r="A2" s="15" t="s">
        <v>28</v>
      </c>
      <c r="B2" s="11">
        <f>SUM(TblVentes!H2:H49)</f>
        <v>157280</v>
      </c>
    </row>
    <row r="3" spans="1:3" ht="28.2" x14ac:dyDescent="0.3">
      <c r="A3" s="16" t="s">
        <v>29</v>
      </c>
      <c r="B3" s="12">
        <f>COUNT(TblVentes!H2:H49)</f>
        <v>48</v>
      </c>
    </row>
    <row r="4" spans="1:3" s="4" customFormat="1" ht="34.200000000000003" customHeight="1" x14ac:dyDescent="0.3">
      <c r="A4" s="7" t="s">
        <v>30</v>
      </c>
      <c r="B4" s="13">
        <f>AVERAGE(TblVentes!H2:H49)</f>
        <v>3276.6666666666665</v>
      </c>
    </row>
    <row r="5" spans="1:3" s="5" customFormat="1" ht="28.2" x14ac:dyDescent="0.3">
      <c r="A5" s="8" t="s">
        <v>31</v>
      </c>
      <c r="B5" s="14">
        <f>SUM(TblVentes!F2:F49)</f>
        <v>359</v>
      </c>
    </row>
    <row r="6" spans="1:3" s="18" customFormat="1" ht="28.2" x14ac:dyDescent="0.5">
      <c r="A6" s="17" t="s">
        <v>32</v>
      </c>
      <c r="B6" s="19">
        <f ca="1">COUNTA(UNIQUE(Tableau1[Produit]))</f>
        <v>1</v>
      </c>
    </row>
    <row r="9" spans="1:3" s="23" customFormat="1" ht="25.2" x14ac:dyDescent="0.3">
      <c r="A9" s="30" t="s">
        <v>33</v>
      </c>
      <c r="B9" s="30"/>
      <c r="C9" s="30"/>
    </row>
    <row r="10" spans="1:3" s="20" customFormat="1" ht="22.8" x14ac:dyDescent="0.4">
      <c r="A10" s="22" t="s">
        <v>1</v>
      </c>
      <c r="B10" s="21" t="s">
        <v>34</v>
      </c>
      <c r="C10" s="20" t="s">
        <v>29</v>
      </c>
    </row>
    <row r="11" spans="1:3" s="20" customFormat="1" ht="22.8" x14ac:dyDescent="0.4">
      <c r="A11" s="22" t="s">
        <v>8</v>
      </c>
      <c r="B11" s="21">
        <f>SUMIF(Tableau1[Produit],TblVentes!B10, Tableau1[Montant])</f>
        <v>18240</v>
      </c>
      <c r="C11" s="20">
        <f>COUNTIF(Tableau1[Produit],TblVentes!B10)</f>
        <v>9</v>
      </c>
    </row>
    <row r="12" spans="1:3" s="20" customFormat="1" ht="22.8" x14ac:dyDescent="0.4">
      <c r="A12" s="22" t="s">
        <v>12</v>
      </c>
      <c r="B12" s="21">
        <f>SUMIF(Tableau1[Produit],TblVentes!B11, Tableau1[Montant])</f>
        <v>62400</v>
      </c>
      <c r="C12" s="20">
        <f>COUNTIF(Tableau1[Produit],TblVentes!B11)</f>
        <v>12</v>
      </c>
    </row>
    <row r="13" spans="1:3" s="20" customFormat="1" ht="22.8" x14ac:dyDescent="0.4">
      <c r="A13" s="22" t="s">
        <v>16</v>
      </c>
      <c r="B13" s="21">
        <f>SUMIF(Tableau1[Produit],TblVentes!B12, Tableau1[Montant])</f>
        <v>46150</v>
      </c>
      <c r="C13" s="20">
        <f>COUNTIF(Tableau1[Produit],TblVentes!B12)</f>
        <v>10</v>
      </c>
    </row>
    <row r="14" spans="1:3" s="20" customFormat="1" ht="22.8" x14ac:dyDescent="0.4">
      <c r="A14" s="22" t="s">
        <v>19</v>
      </c>
      <c r="B14" s="21">
        <f>SUMIF(Tableau1[Produit],TblVentes!B13, Tableau1[Montant])</f>
        <v>13160</v>
      </c>
      <c r="C14" s="20">
        <f>COUNTIF(Tableau1[Produit],TblVentes!B13)</f>
        <v>8</v>
      </c>
    </row>
    <row r="15" spans="1:3" s="20" customFormat="1" ht="22.8" x14ac:dyDescent="0.4">
      <c r="A15" s="22" t="s">
        <v>24</v>
      </c>
      <c r="B15" s="21">
        <f>SUMIF(Tableau1[Produit],TblVentes!B14, Tableau1[Montant])</f>
        <v>62400</v>
      </c>
      <c r="C15" s="20">
        <f>COUNTIF(Tableau1[Produit],TblVentes!B14)</f>
        <v>12</v>
      </c>
    </row>
    <row r="17" spans="1:3" s="24" customFormat="1" ht="22.8" x14ac:dyDescent="0.4">
      <c r="A17" s="31" t="s">
        <v>35</v>
      </c>
      <c r="B17" s="31"/>
      <c r="C17" s="31"/>
    </row>
    <row r="18" spans="1:3" s="29" customFormat="1" ht="21" x14ac:dyDescent="0.4">
      <c r="A18" s="28" t="s">
        <v>4</v>
      </c>
      <c r="B18" s="28" t="s">
        <v>34</v>
      </c>
      <c r="C18" s="29" t="s">
        <v>29</v>
      </c>
    </row>
    <row r="19" spans="1:3" s="27" customFormat="1" ht="21" x14ac:dyDescent="0.4">
      <c r="A19" s="25" t="s">
        <v>11</v>
      </c>
      <c r="B19" s="26">
        <f>SUMIF(Tableau1[Vendeur], TblVentes!E2, Tableau1[Montant])</f>
        <v>43990</v>
      </c>
      <c r="C19" s="27">
        <f>COUNTIF(Tableau1[Vendeur],TblVentes!E2)</f>
        <v>10</v>
      </c>
    </row>
    <row r="20" spans="1:3" s="27" customFormat="1" ht="21" x14ac:dyDescent="0.4">
      <c r="A20" s="25" t="s">
        <v>15</v>
      </c>
      <c r="B20" s="26">
        <f>SUMIF(Tableau1[Vendeur], TblVentes!E3, Tableau1[Montant])</f>
        <v>41530</v>
      </c>
      <c r="C20" s="27">
        <f>COUNTIF(Tableau1[Vendeur],TblVentes!E3)</f>
        <v>9</v>
      </c>
    </row>
    <row r="21" spans="1:3" s="27" customFormat="1" ht="21" x14ac:dyDescent="0.4">
      <c r="A21" s="25" t="s">
        <v>18</v>
      </c>
      <c r="B21" s="26">
        <f>SUMIF(Tableau1[Vendeur], TblVentes!E4, Tableau1[Montant])</f>
        <v>29130</v>
      </c>
      <c r="C21" s="27">
        <f>COUNTIF(Tableau1[Vendeur],TblVentes!E4)</f>
        <v>10</v>
      </c>
    </row>
    <row r="22" spans="1:3" s="27" customFormat="1" ht="21" x14ac:dyDescent="0.4">
      <c r="A22" s="25" t="s">
        <v>21</v>
      </c>
      <c r="B22" s="26">
        <f>SUMIF(Tableau1[Vendeur], TblVentes!E5, Tableau1[Montant])</f>
        <v>18960</v>
      </c>
      <c r="C22" s="27">
        <f>COUNTIF(Tableau1[Vendeur],TblVentes!E5)</f>
        <v>10</v>
      </c>
    </row>
    <row r="23" spans="1:3" s="27" customFormat="1" ht="21" x14ac:dyDescent="0.4">
      <c r="A23" s="25" t="s">
        <v>23</v>
      </c>
      <c r="B23" s="26">
        <f>SUMIF(Tableau1[Vendeur], TblVentes!E6, Tableau1[Montant])</f>
        <v>24790</v>
      </c>
      <c r="C23" s="27">
        <f>COUNTIF(Tableau1[Vendeur],TblVentes!E6)</f>
        <v>10</v>
      </c>
    </row>
  </sheetData>
  <mergeCells count="2">
    <mergeCell ref="A9:C9"/>
    <mergeCell ref="A17:C17"/>
  </mergeCells>
  <conditionalFormatting sqref="B11:B1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{067955CC-052D-4EEB-B683-38E78DDAC23E}</x14:id>
        </ext>
      </extLst>
    </cfRule>
  </conditionalFormatting>
  <conditionalFormatting sqref="B19:B2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7955CC-052D-4EEB-B683-38E78DDAC2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B11:B15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TblVentes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adjowa sika Flora NOUDOUKOU</dc:creator>
  <cp:lastModifiedBy>adjowa sika Flora NOUDOUKOU</cp:lastModifiedBy>
  <dcterms:created xsi:type="dcterms:W3CDTF">2026-05-26T20:26:50Z</dcterms:created>
  <dcterms:modified xsi:type="dcterms:W3CDTF">2026-05-27T09:06:06Z</dcterms:modified>
</cp:coreProperties>
</file>